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cacdc90830646c8/"/>
    </mc:Choice>
  </mc:AlternateContent>
  <xr:revisionPtr revIDLastSave="42587" documentId="13_ncr:1_{4776E86F-B852-4FB7-B7F3-E35654954C15}" xr6:coauthVersionLast="47" xr6:coauthVersionMax="47" xr10:uidLastSave="{21C3969F-3922-472D-B0D0-6653B38DC777}"/>
  <bookViews>
    <workbookView xWindow="-120" yWindow="-120" windowWidth="20730" windowHeight="11160" activeTab="1" xr2:uid="{7B7E4D43-8E26-40E5-9C4C-72140E82BCDE}"/>
  </bookViews>
  <sheets>
    <sheet name="Sheet2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1" l="1"/>
  <c r="D19" i="1" s="1"/>
  <c r="H19" i="1" s="1"/>
  <c r="B19" i="1"/>
  <c r="B18" i="1"/>
  <c r="B17" i="1"/>
  <c r="B16" i="1"/>
  <c r="B15" i="1"/>
  <c r="B14" i="1"/>
  <c r="H12" i="1"/>
  <c r="H11" i="1"/>
  <c r="H10" i="1"/>
  <c r="H9" i="1"/>
  <c r="H20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7" i="1"/>
  <c r="D8" i="1"/>
  <c r="D9" i="1"/>
  <c r="D10" i="1"/>
  <c r="D11" i="1"/>
  <c r="D12" i="1"/>
  <c r="D20" i="1"/>
  <c r="D21" i="1"/>
  <c r="D22" i="1"/>
  <c r="E9" i="1"/>
  <c r="E8" i="1"/>
  <c r="C18" i="1"/>
  <c r="D18" i="1" s="1"/>
  <c r="H18" i="1" s="1"/>
  <c r="C17" i="1"/>
  <c r="D17" i="1" s="1"/>
  <c r="H17" i="1" s="1"/>
  <c r="C16" i="1"/>
  <c r="D16" i="1" s="1"/>
  <c r="H16" i="1" s="1"/>
  <c r="C15" i="1"/>
  <c r="D15" i="1" s="1"/>
  <c r="H15" i="1" s="1"/>
  <c r="C14" i="1"/>
  <c r="D14" i="1" s="1"/>
  <c r="H14" i="1" s="1"/>
  <c r="C13" i="1"/>
  <c r="D13" i="1" s="1"/>
  <c r="H13" i="1" s="1"/>
  <c r="C12" i="1"/>
  <c r="C11" i="1"/>
  <c r="C10" i="1"/>
  <c r="A11" i="1"/>
  <c r="A12" i="1" s="1"/>
  <c r="A13" i="1" s="1"/>
  <c r="A14" i="1" s="1"/>
  <c r="A15" i="1" s="1"/>
  <c r="A16" i="1" s="1"/>
  <c r="A17" i="1" s="1"/>
  <c r="A18" i="1" s="1"/>
  <c r="A19" i="1" s="1"/>
  <c r="D7" i="1"/>
  <c r="E10" i="1" l="1"/>
  <c r="E11" i="1" s="1"/>
  <c r="E12" i="1" s="1"/>
  <c r="E13" i="1" s="1"/>
  <c r="E14" i="1" s="1"/>
  <c r="B5" i="1" l="1"/>
  <c r="E15" i="1"/>
  <c r="E16" i="1" s="1"/>
  <c r="E17" i="1" s="1"/>
  <c r="E18" i="1" s="1"/>
  <c r="E19" i="1" s="1"/>
  <c r="E20" i="1" s="1"/>
  <c r="E21" i="1" s="1"/>
  <c r="E22" i="1" s="1"/>
  <c r="C5" i="1" l="1"/>
</calcChain>
</file>

<file path=xl/sharedStrings.xml><?xml version="1.0" encoding="utf-8"?>
<sst xmlns="http://schemas.openxmlformats.org/spreadsheetml/2006/main" count="19" uniqueCount="19">
  <si>
    <t>Book Name</t>
  </si>
  <si>
    <t>Vendor Code</t>
  </si>
  <si>
    <t>Chapter No</t>
  </si>
  <si>
    <t>Page From</t>
  </si>
  <si>
    <t>abcd</t>
  </si>
  <si>
    <t>TSS_TN_744057_</t>
  </si>
  <si>
    <t>END</t>
  </si>
  <si>
    <t>INTRODUCTION</t>
  </si>
  <si>
    <t>File Saving Location</t>
  </si>
  <si>
    <t>FRONT INNER</t>
  </si>
  <si>
    <t>FRONT OUTER</t>
  </si>
  <si>
    <t>BACK INNER</t>
  </si>
  <si>
    <t>BACK OUTER</t>
  </si>
  <si>
    <t>No of Chapters</t>
  </si>
  <si>
    <t>Page To</t>
  </si>
  <si>
    <t>No of Pages</t>
  </si>
  <si>
    <t>Total No. of Pages</t>
  </si>
  <si>
    <t>Scanned Page Nos.</t>
  </si>
  <si>
    <t>E:\SCAN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</si>
</sst>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E635B-BEDF-4B03-B8B6-C352F0FCC3E8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4F3E-2D37-4EB8-AF5C-95519D733B2A}">
  <sheetPr codeName="Sheet1"/>
  <dimension ref="A1:H23"/>
  <sheetViews>
    <sheetView tabSelected="1" workbookViewId="0">
      <selection activeCell="I7" sqref="I7"/>
    </sheetView>
  </sheetViews>
  <sheetFormatPr defaultRowHeight="15" x14ac:dyDescent="0.25"/>
  <cols>
    <col min="1" max="1" width="25.7109375" customWidth="1"/>
    <col min="2" max="2" width="15.5703125" bestFit="1" customWidth="1"/>
    <col min="3" max="3" width="18.140625" style="2" bestFit="1" customWidth="1"/>
    <col min="4" max="4" width="11.42578125" bestFit="1" customWidth="1"/>
    <col min="5" max="5" width="17.85546875" bestFit="1" customWidth="1"/>
  </cols>
  <sheetData>
    <row r="1" spans="1:8" x14ac:dyDescent="0.25">
      <c r="A1" t="s">
        <v>1</v>
      </c>
      <c r="B1" t="s">
        <v>5</v>
      </c>
    </row>
    <row r="2" spans="1:8" s="2" customFormat="1" x14ac:dyDescent="0.25">
      <c r="A2" t="s">
        <v>0</v>
      </c>
      <c r="B2" s="4" t="s">
        <v>4</v>
      </c>
    </row>
    <row r="3" spans="1:8" x14ac:dyDescent="0.25">
      <c r="A3" s="2" t="s">
        <v>8</v>
      </c>
      <c r="B3" s="2" t="s">
        <v>18</v>
      </c>
    </row>
    <row r="4" spans="1:8" x14ac:dyDescent="0.25">
      <c r="A4" t="s">
        <v>13</v>
      </c>
      <c r="B4" s="4">
        <v>10</v>
      </c>
    </row>
    <row r="5" spans="1:8" s="2" customFormat="1" x14ac:dyDescent="0.25">
      <c r="A5" s="2" t="s">
        <v>16</v>
      </c>
      <c r="B5" s="4">
        <f>SUM(D:D)</f>
        <v>198</v>
      </c>
      <c r="C5" s="1" t="str">
        <f>IF(MAX(E:E)&lt;&gt;B5,"ERROR!!!! Pages missing","Page Nos. matched")</f>
        <v>Page Nos. matched</v>
      </c>
    </row>
    <row r="6" spans="1:8" x14ac:dyDescent="0.25">
      <c r="A6" s="1" t="s">
        <v>2</v>
      </c>
      <c r="B6" s="1" t="s">
        <v>3</v>
      </c>
      <c r="C6" s="1" t="s">
        <v>14</v>
      </c>
      <c r="D6" s="1" t="s">
        <v>15</v>
      </c>
      <c r="E6" s="1" t="s">
        <v>17</v>
      </c>
    </row>
    <row r="7" spans="1:8" x14ac:dyDescent="0.25">
      <c r="A7" s="3" t="s">
        <v>10</v>
      </c>
      <c r="B7" s="2">
        <v>0</v>
      </c>
      <c r="C7" s="2">
        <v>0</v>
      </c>
      <c r="D7">
        <f>IF(B7=C7,1,C7-B7+1)</f>
        <v>1</v>
      </c>
      <c r="E7">
        <v>1</v>
      </c>
      <c r="F7">
        <v>101</v>
      </c>
      <c r="G7">
        <f>+F8-F7</f>
        <v>1</v>
      </c>
    </row>
    <row r="8" spans="1:8" s="2" customFormat="1" x14ac:dyDescent="0.25">
      <c r="A8" s="3" t="s">
        <v>9</v>
      </c>
      <c r="B8" s="2">
        <v>0</v>
      </c>
      <c r="C8" s="2">
        <v>0</v>
      </c>
      <c r="D8" s="2">
        <f t="shared" ref="D8:D22" si="0">IF(B8=C8,1,C8-B8+1)</f>
        <v>1</v>
      </c>
      <c r="E8" s="2">
        <f>+E7+D7</f>
        <v>2</v>
      </c>
      <c r="F8" s="2">
        <v>102</v>
      </c>
      <c r="G8" s="2">
        <f t="shared" ref="G8:G22" si="1">+F9-F8</f>
        <v>1</v>
      </c>
    </row>
    <row r="9" spans="1:8" x14ac:dyDescent="0.25">
      <c r="A9" s="3" t="s">
        <v>7</v>
      </c>
      <c r="B9" s="2">
        <v>1</v>
      </c>
      <c r="C9" s="2">
        <v>10</v>
      </c>
      <c r="D9" s="2">
        <f t="shared" si="0"/>
        <v>10</v>
      </c>
      <c r="E9" s="2">
        <f>+E8+D8</f>
        <v>3</v>
      </c>
      <c r="F9">
        <v>103</v>
      </c>
      <c r="G9" s="2">
        <f t="shared" si="1"/>
        <v>10</v>
      </c>
      <c r="H9" s="2">
        <f t="shared" ref="H9:H19" si="2">+D9-G9</f>
        <v>0</v>
      </c>
    </row>
    <row r="10" spans="1:8" s="2" customFormat="1" x14ac:dyDescent="0.25">
      <c r="A10" s="3">
        <v>1</v>
      </c>
      <c r="B10" s="2">
        <v>1</v>
      </c>
      <c r="C10" s="2">
        <f t="shared" ref="C10:C18" si="3">+B11-1</f>
        <v>20</v>
      </c>
      <c r="D10" s="2">
        <f t="shared" si="0"/>
        <v>20</v>
      </c>
      <c r="E10" s="2">
        <f t="shared" ref="E10:E21" si="4">+E9+D9</f>
        <v>13</v>
      </c>
      <c r="F10" s="2">
        <v>113</v>
      </c>
      <c r="G10" s="2">
        <f t="shared" si="1"/>
        <v>20</v>
      </c>
      <c r="H10" s="2">
        <f t="shared" si="2"/>
        <v>0</v>
      </c>
    </row>
    <row r="11" spans="1:8" s="2" customFormat="1" x14ac:dyDescent="0.25">
      <c r="A11" s="3">
        <f>+A10+1</f>
        <v>2</v>
      </c>
      <c r="B11" s="2">
        <v>21</v>
      </c>
      <c r="C11" s="2">
        <f t="shared" si="3"/>
        <v>34</v>
      </c>
      <c r="D11" s="2">
        <f t="shared" si="0"/>
        <v>14</v>
      </c>
      <c r="E11" s="2">
        <f t="shared" si="4"/>
        <v>33</v>
      </c>
      <c r="F11" s="2">
        <v>133</v>
      </c>
      <c r="G11" s="2">
        <f t="shared" si="1"/>
        <v>14</v>
      </c>
      <c r="H11" s="2">
        <f t="shared" si="2"/>
        <v>0</v>
      </c>
    </row>
    <row r="12" spans="1:8" s="2" customFormat="1" x14ac:dyDescent="0.25">
      <c r="A12" s="3">
        <f t="shared" ref="A12:A19" si="5">+A11+1</f>
        <v>3</v>
      </c>
      <c r="B12" s="2">
        <v>35</v>
      </c>
      <c r="C12" s="2">
        <f t="shared" si="3"/>
        <v>54</v>
      </c>
      <c r="D12" s="2">
        <f t="shared" si="0"/>
        <v>20</v>
      </c>
      <c r="E12" s="2">
        <f t="shared" si="4"/>
        <v>47</v>
      </c>
      <c r="F12" s="2">
        <v>147</v>
      </c>
      <c r="G12" s="2">
        <f t="shared" si="1"/>
        <v>20</v>
      </c>
      <c r="H12" s="2">
        <f t="shared" si="2"/>
        <v>0</v>
      </c>
    </row>
    <row r="13" spans="1:8" s="2" customFormat="1" x14ac:dyDescent="0.25">
      <c r="A13" s="3">
        <f t="shared" si="5"/>
        <v>4</v>
      </c>
      <c r="B13" s="2">
        <v>55</v>
      </c>
      <c r="C13" s="2">
        <f t="shared" si="3"/>
        <v>70</v>
      </c>
      <c r="D13" s="2">
        <f t="shared" si="0"/>
        <v>16</v>
      </c>
      <c r="E13" s="2">
        <f t="shared" si="4"/>
        <v>67</v>
      </c>
      <c r="F13" s="2">
        <v>167</v>
      </c>
      <c r="G13" s="2">
        <f t="shared" si="1"/>
        <v>16</v>
      </c>
      <c r="H13" s="2">
        <f t="shared" si="2"/>
        <v>0</v>
      </c>
    </row>
    <row r="14" spans="1:8" s="2" customFormat="1" x14ac:dyDescent="0.25">
      <c r="A14" s="3">
        <f t="shared" si="5"/>
        <v>5</v>
      </c>
      <c r="B14" s="2">
        <f>71</f>
        <v>71</v>
      </c>
      <c r="C14" s="2">
        <f t="shared" si="3"/>
        <v>86</v>
      </c>
      <c r="D14" s="2">
        <f t="shared" si="0"/>
        <v>16</v>
      </c>
      <c r="E14" s="2">
        <f t="shared" si="4"/>
        <v>83</v>
      </c>
      <c r="F14" s="2">
        <v>183</v>
      </c>
      <c r="G14" s="2">
        <f t="shared" si="1"/>
        <v>16</v>
      </c>
      <c r="H14" s="2">
        <f t="shared" si="2"/>
        <v>0</v>
      </c>
    </row>
    <row r="15" spans="1:8" s="2" customFormat="1" x14ac:dyDescent="0.25">
      <c r="A15" s="3">
        <f t="shared" si="5"/>
        <v>6</v>
      </c>
      <c r="B15" s="2">
        <f>87</f>
        <v>87</v>
      </c>
      <c r="C15" s="2">
        <f t="shared" si="3"/>
        <v>98</v>
      </c>
      <c r="D15" s="2">
        <f t="shared" si="0"/>
        <v>12</v>
      </c>
      <c r="E15" s="2">
        <f t="shared" si="4"/>
        <v>99</v>
      </c>
      <c r="F15" s="2">
        <v>199</v>
      </c>
      <c r="G15" s="2">
        <f t="shared" si="1"/>
        <v>12</v>
      </c>
      <c r="H15" s="2">
        <f t="shared" si="2"/>
        <v>0</v>
      </c>
    </row>
    <row r="16" spans="1:8" s="2" customFormat="1" x14ac:dyDescent="0.25">
      <c r="A16" s="3">
        <f t="shared" si="5"/>
        <v>7</v>
      </c>
      <c r="B16" s="2">
        <f>99</f>
        <v>99</v>
      </c>
      <c r="C16" s="2">
        <f t="shared" si="3"/>
        <v>112</v>
      </c>
      <c r="D16" s="2">
        <f t="shared" si="0"/>
        <v>14</v>
      </c>
      <c r="E16" s="2">
        <f t="shared" si="4"/>
        <v>111</v>
      </c>
      <c r="F16" s="2">
        <v>211</v>
      </c>
      <c r="G16" s="2">
        <f t="shared" si="1"/>
        <v>14</v>
      </c>
      <c r="H16" s="2">
        <f t="shared" si="2"/>
        <v>0</v>
      </c>
    </row>
    <row r="17" spans="1:8" s="2" customFormat="1" x14ac:dyDescent="0.25">
      <c r="A17" s="3">
        <f t="shared" si="5"/>
        <v>8</v>
      </c>
      <c r="B17" s="2">
        <f>113</f>
        <v>113</v>
      </c>
      <c r="C17" s="2">
        <f t="shared" si="3"/>
        <v>132</v>
      </c>
      <c r="D17" s="2">
        <f t="shared" si="0"/>
        <v>20</v>
      </c>
      <c r="E17" s="2">
        <f t="shared" si="4"/>
        <v>125</v>
      </c>
      <c r="F17" s="2">
        <v>225</v>
      </c>
      <c r="G17" s="2">
        <f t="shared" si="1"/>
        <v>20</v>
      </c>
      <c r="H17" s="2">
        <f t="shared" si="2"/>
        <v>0</v>
      </c>
    </row>
    <row r="18" spans="1:8" s="2" customFormat="1" x14ac:dyDescent="0.25">
      <c r="A18" s="3">
        <f t="shared" si="5"/>
        <v>9</v>
      </c>
      <c r="B18" s="2">
        <f>133</f>
        <v>133</v>
      </c>
      <c r="C18" s="2">
        <f t="shared" si="3"/>
        <v>150</v>
      </c>
      <c r="D18" s="2">
        <f t="shared" si="0"/>
        <v>18</v>
      </c>
      <c r="E18" s="2">
        <f t="shared" si="4"/>
        <v>145</v>
      </c>
      <c r="F18" s="2">
        <v>245</v>
      </c>
      <c r="G18" s="2">
        <f t="shared" si="1"/>
        <v>18</v>
      </c>
      <c r="H18" s="2">
        <f t="shared" si="2"/>
        <v>0</v>
      </c>
    </row>
    <row r="19" spans="1:8" s="2" customFormat="1" x14ac:dyDescent="0.25">
      <c r="A19" s="3">
        <f t="shared" si="5"/>
        <v>10</v>
      </c>
      <c r="B19" s="2">
        <f>151</f>
        <v>151</v>
      </c>
      <c r="C19" s="2">
        <f>162</f>
        <v>162</v>
      </c>
      <c r="D19" s="2">
        <f t="shared" si="0"/>
        <v>12</v>
      </c>
      <c r="E19" s="2">
        <f t="shared" si="4"/>
        <v>163</v>
      </c>
      <c r="F19" s="2">
        <v>263</v>
      </c>
      <c r="G19" s="2">
        <f t="shared" si="1"/>
        <v>12</v>
      </c>
      <c r="H19" s="2">
        <f t="shared" si="2"/>
        <v>0</v>
      </c>
    </row>
    <row r="20" spans="1:8" x14ac:dyDescent="0.25">
      <c r="A20" t="s">
        <v>6</v>
      </c>
      <c r="B20" s="2">
        <v>1</v>
      </c>
      <c r="C20" s="2">
        <v>22</v>
      </c>
      <c r="D20" s="2">
        <f t="shared" si="0"/>
        <v>22</v>
      </c>
      <c r="E20" s="2">
        <f t="shared" si="4"/>
        <v>175</v>
      </c>
      <c r="F20">
        <v>275</v>
      </c>
      <c r="G20" s="2">
        <f t="shared" si="1"/>
        <v>22</v>
      </c>
      <c r="H20">
        <f>+D20-G20</f>
        <v>0</v>
      </c>
    </row>
    <row r="21" spans="1:8" x14ac:dyDescent="0.25">
      <c r="A21" t="s">
        <v>11</v>
      </c>
      <c r="B21" s="2">
        <v>0</v>
      </c>
      <c r="C21" s="2">
        <v>0</v>
      </c>
      <c r="D21" s="2">
        <f t="shared" si="0"/>
        <v>1</v>
      </c>
      <c r="E21" s="2">
        <f t="shared" si="4"/>
        <v>197</v>
      </c>
      <c r="F21">
        <v>297</v>
      </c>
      <c r="G21" s="2">
        <f t="shared" si="1"/>
        <v>1</v>
      </c>
    </row>
    <row r="22" spans="1:8" x14ac:dyDescent="0.25">
      <c r="A22" t="s">
        <v>12</v>
      </c>
      <c r="B22" s="2">
        <v>0</v>
      </c>
      <c r="C22" s="2">
        <v>0</v>
      </c>
      <c r="D22" s="2">
        <f t="shared" si="0"/>
        <v>1</v>
      </c>
      <c r="E22" s="2">
        <f>+E21+D21</f>
        <v>198</v>
      </c>
      <c r="F22" s="2">
        <v>298</v>
      </c>
      <c r="G22" s="2">
        <f t="shared" si="1"/>
        <v>-298</v>
      </c>
    </row>
    <row r="23" spans="1:8" x14ac:dyDescent="0.25">
      <c r="E23" s="2"/>
    </row>
  </sheetData>
  <phoneticPr fontId="2" type="noConversion"/>
  <conditionalFormatting sqref="C5">
    <cfRule type="cellIs" dxfId="1" priority="1" operator="equal">
      <formula>"ERROR!!!! Pages Missing"</formula>
    </cfRule>
    <cfRule type="cellIs" dxfId="0" priority="2" operator="equal">
      <formula>"Page Nos. matched"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welcome</dc:creator>
  <cp:lastModifiedBy>Saravanan</cp:lastModifiedBy>
  <dcterms:created xsi:type="dcterms:W3CDTF">2022-03-03T12:21:20Z</dcterms:created>
  <dcterms:modified xsi:type="dcterms:W3CDTF">2022-03-11T13:25:12Z</dcterms:modified>
</cp:coreProperties>
</file>